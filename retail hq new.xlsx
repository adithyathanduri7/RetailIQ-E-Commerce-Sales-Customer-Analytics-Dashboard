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7afffc9117cddf/Desktop/new pro/"/>
    </mc:Choice>
  </mc:AlternateContent>
  <xr:revisionPtr revIDLastSave="0" documentId="8_{B339946F-C2FA-42D4-9ED8-108B0C0EA9C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2" r:id="rId1"/>
    <sheet name="Sheet3" sheetId="3" r:id="rId2"/>
    <sheet name="Dashboard" sheetId="4" r:id="rId3"/>
    <sheet name="Sheet1" sheetId="1" r:id="rId4"/>
  </sheets>
  <definedNames>
    <definedName name="_xlnm._FilterDatabase" localSheetId="3" hidden="1">Sheet1!$A$1:$A$11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4" i="1"/>
  <c r="M3" i="1"/>
</calcChain>
</file>

<file path=xl/sharedStrings.xml><?xml version="1.0" encoding="utf-8"?>
<sst xmlns="http://schemas.openxmlformats.org/spreadsheetml/2006/main" count="67" uniqueCount="41">
  <si>
    <t>Order_Date</t>
  </si>
  <si>
    <t>Customer_ID</t>
  </si>
  <si>
    <t>Customer_Name</t>
  </si>
  <si>
    <t>Product_Category</t>
  </si>
  <si>
    <t>Product_Name</t>
  </si>
  <si>
    <t>Region</t>
  </si>
  <si>
    <t>Quantity</t>
  </si>
  <si>
    <t>Sales_Amount</t>
  </si>
  <si>
    <t>Profit</t>
  </si>
  <si>
    <t>Priya Rao</t>
  </si>
  <si>
    <t>Books</t>
  </si>
  <si>
    <t>Magazine</t>
  </si>
  <si>
    <t>South</t>
  </si>
  <si>
    <t>Vikram Rani</t>
  </si>
  <si>
    <t>East</t>
  </si>
  <si>
    <t>Rahul Reddy</t>
  </si>
  <si>
    <t>Electronics</t>
  </si>
  <si>
    <t>Priya Verma</t>
  </si>
  <si>
    <t>Health</t>
  </si>
  <si>
    <t>First Aid Kit</t>
  </si>
  <si>
    <t>West</t>
  </si>
  <si>
    <t>Suresh Mehta</t>
  </si>
  <si>
    <t>Food</t>
  </si>
  <si>
    <t>Soda</t>
  </si>
  <si>
    <t>Rahul Verma</t>
  </si>
  <si>
    <t>Supplement</t>
  </si>
  <si>
    <t>Manoj Kumar</t>
  </si>
  <si>
    <t>Manoj Reddy</t>
  </si>
  <si>
    <t>Clothing</t>
  </si>
  <si>
    <t>T-Shirt</t>
  </si>
  <si>
    <t>Amit Verma</t>
  </si>
  <si>
    <t>Novel</t>
  </si>
  <si>
    <t>Order_ID</t>
  </si>
  <si>
    <t>Row Labels</t>
  </si>
  <si>
    <t>Grand Total</t>
  </si>
  <si>
    <t>Sum of Sales_Amount</t>
  </si>
  <si>
    <t>Sum of Profit</t>
  </si>
  <si>
    <t>Sum of profit margin</t>
  </si>
  <si>
    <t>Revenue</t>
  </si>
  <si>
    <t>Orders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</si>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</sst>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hya Thanduri" refreshedDate="46179.829850115741" createdVersion="8" refreshedVersion="8" minRefreshableVersion="3" recordCount="10" xr:uid="{3FA1A0A7-3176-4F5F-98CA-8E0CE8E25BE2}">
  <cacheSource type="worksheet">
    <worksheetSource name="Table1"/>
  </cacheSource>
  <cacheFields count="11">
    <cacheField name="Order_ID" numFmtId="0">
      <sharedItems containsSemiMixedTypes="0" containsString="0" containsNumber="1" containsInteger="1" minValue="1001" maxValue="1010"/>
    </cacheField>
    <cacheField name="Order_Date" numFmtId="14">
      <sharedItems containsSemiMixedTypes="0" containsNonDate="0" containsDate="1" containsString="0" minDate="2024-01-10T00:00:00" maxDate="2025-12-25T00:00:00"/>
    </cacheField>
    <cacheField name="Customer_ID" numFmtId="0">
      <sharedItems containsSemiMixedTypes="0" containsString="0" containsNumber="1" containsInteger="1" minValue="1029" maxValue="1097"/>
    </cacheField>
    <cacheField name="Customer_Name" numFmtId="0">
      <sharedItems/>
    </cacheField>
    <cacheField name="Product_Category" numFmtId="0">
      <sharedItems count="5">
        <s v="Books"/>
        <s v="Electronics"/>
        <s v="Health"/>
        <s v="Food"/>
        <s v="Clothing"/>
      </sharedItems>
    </cacheField>
    <cacheField name="Product_Name" numFmtId="0">
      <sharedItems containsBlank="1"/>
    </cacheField>
    <cacheField name="Region" numFmtId="0">
      <sharedItems containsBlank="1" count="4">
        <s v="South"/>
        <s v="East"/>
        <s v="West"/>
        <m/>
      </sharedItems>
    </cacheField>
    <cacheField name="Quantity" numFmtId="0">
      <sharedItems containsSemiMixedTypes="0" containsString="0" containsNumber="1" containsInteger="1" minValue="1" maxValue="4"/>
    </cacheField>
    <cacheField name="Sales_Amount" numFmtId="0">
      <sharedItems containsString="0" containsBlank="1" containsNumber="1" minValue="361.76" maxValue="18373.13"/>
    </cacheField>
    <cacheField name="Profit" numFmtId="0">
      <sharedItems containsSemiMixedTypes="0" containsString="0" containsNumber="1" minValue="43.51" maxValue="3460.7"/>
    </cacheField>
    <cacheField name="profit margin" numFmtId="0" formula="Profit/Sales_Amount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5-11-15T00:00:00"/>
    <n v="1041"/>
    <s v="Priya Rao"/>
    <x v="0"/>
    <s v="Magazine"/>
    <x v="0"/>
    <n v="3"/>
    <n v="920.54"/>
    <n v="144.62"/>
  </r>
  <r>
    <n v="1002"/>
    <d v="2025-07-13T00:00:00"/>
    <n v="1040"/>
    <s v="Vikram Rani"/>
    <x v="0"/>
    <s v="Magazine"/>
    <x v="1"/>
    <n v="2"/>
    <n v="609.86"/>
    <n v="85.52"/>
  </r>
  <r>
    <n v="1003"/>
    <d v="2025-09-21T00:00:00"/>
    <n v="1060"/>
    <s v="Rahul Reddy"/>
    <x v="1"/>
    <m/>
    <x v="0"/>
    <n v="4"/>
    <n v="18373.13"/>
    <n v="3460.7"/>
  </r>
  <r>
    <n v="1004"/>
    <d v="2024-07-11T00:00:00"/>
    <n v="1081"/>
    <s v="Priya Verma"/>
    <x v="2"/>
    <s v="First Aid Kit"/>
    <x v="2"/>
    <n v="4"/>
    <n v="6251.21"/>
    <n v="1295.46"/>
  </r>
  <r>
    <n v="1005"/>
    <d v="2025-12-08T00:00:00"/>
    <n v="1051"/>
    <s v="Suresh Mehta"/>
    <x v="3"/>
    <s v="Soda"/>
    <x v="1"/>
    <n v="2"/>
    <n v="361.76"/>
    <n v="52.95"/>
  </r>
  <r>
    <n v="1006"/>
    <d v="2024-12-25T00:00:00"/>
    <n v="1040"/>
    <s v="Vikram Rani"/>
    <x v="3"/>
    <s v="Soda"/>
    <x v="3"/>
    <n v="1"/>
    <m/>
    <n v="43.51"/>
  </r>
  <r>
    <n v="1007"/>
    <d v="2024-01-10T00:00:00"/>
    <n v="1059"/>
    <s v="Rahul Verma"/>
    <x v="2"/>
    <s v="Supplement"/>
    <x v="0"/>
    <n v="4"/>
    <n v="5037.3599999999997"/>
    <n v="1242.0999999999999"/>
  </r>
  <r>
    <n v="1008"/>
    <d v="2025-12-24T00:00:00"/>
    <n v="1094"/>
    <s v="Manoj Kumar"/>
    <x v="2"/>
    <s v="Supplement"/>
    <x v="1"/>
    <n v="3"/>
    <n v="4047.79"/>
    <n v="635.14"/>
  </r>
  <r>
    <n v="1009"/>
    <d v="2024-10-04T00:00:00"/>
    <n v="1029"/>
    <s v="Manoj Reddy"/>
    <x v="4"/>
    <s v="T-Shirt"/>
    <x v="2"/>
    <n v="2"/>
    <n v="2188.87"/>
    <n v="507.65"/>
  </r>
  <r>
    <n v="1010"/>
    <d v="2025-08-22T00:00:00"/>
    <n v="1097"/>
    <s v="Amit Verma"/>
    <x v="0"/>
    <s v="Novel"/>
    <x v="1"/>
    <n v="2"/>
    <n v="658.06"/>
    <n v="133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26E2A-3225-4D1C-85C3-6F88E199DB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11">
    <pivotField dataField="1" showAll="0"/>
    <pivotField numFmtId="14"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venue" fld="8" baseField="4" baseItem="0"/>
    <dataField name="Orders" fld="0" baseField="4" baseItem="0"/>
    <dataField name="Sum of Profit" fld="9" baseField="0" baseItem="0"/>
    <dataField name="Sum of profit margin" fld="10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3CA8B-EF7B-4B34-AAA6-61C188832D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1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dataField="1" showAll="0"/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8" baseField="0" baseItem="0"/>
    <dataField name="Sum of Profit" fld="9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AE260-19C2-43FE-850A-93278F56C33E}" name="Table1" displayName="Table1" ref="A1:J11" totalsRowShown="0" headerRowDxfId="11" dataDxfId="10">
  <autoFilter ref="A1:J11" xr:uid="{914AE260-19C2-43FE-850A-93278F56C33E}"/>
  <tableColumns count="10">
    <tableColumn id="1" xr3:uid="{4A071118-0C60-445B-A57C-6E9808AFDB60}" name="Order_ID" dataDxfId="9"/>
    <tableColumn id="2" xr3:uid="{A231CCD5-C58A-4676-B069-A3AC4E59DAF9}" name="Order_Date" dataDxfId="8"/>
    <tableColumn id="3" xr3:uid="{EB4B1CC8-A738-4742-B7FE-9E198297B45C}" name="Customer_ID" dataDxfId="7"/>
    <tableColumn id="4" xr3:uid="{838C9F78-16E5-4EB4-A5D6-919A2801040F}" name="Customer_Name" dataDxfId="6"/>
    <tableColumn id="5" xr3:uid="{92B5578D-7A7D-450F-8490-9375AE054EE7}" name="Product_Category" dataDxfId="5"/>
    <tableColumn id="6" xr3:uid="{08A42680-CADE-4524-815E-A02AB43CFE95}" name="Product_Name" dataDxfId="4"/>
    <tableColumn id="7" xr3:uid="{2876A44C-1752-431C-9213-F7F812DC1845}" name="Region" dataDxfId="3"/>
    <tableColumn id="8" xr3:uid="{F1B4A13D-97B8-46B9-953E-44C2CBF47323}" name="Quantity" dataDxfId="2"/>
    <tableColumn id="9" xr3:uid="{00A1794F-4A51-44A0-AC02-FA7CC0CEA911}" name="Sales_Amount" dataDxfId="1"/>
    <tableColumn id="10" xr3:uid="{ABA8406A-CFCB-46CD-9C74-EF45DBBA3BBC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865D-25ED-4E96-8EEB-8E14465D49F4}">
  <dimension ref="A3:E9"/>
  <sheetViews>
    <sheetView workbookViewId="0">
      <selection activeCell="F12" sqref="F12"/>
    </sheetView>
  </sheetViews>
  <sheetFormatPr defaultRowHeight="14.4" x14ac:dyDescent="0.3"/>
  <cols>
    <col min="1" max="1" width="14.77734375" bestFit="1" customWidth="1"/>
    <col min="2" max="2" width="9" bestFit="1" customWidth="1"/>
    <col min="3" max="3" width="6.5546875" bestFit="1" customWidth="1"/>
    <col min="4" max="4" width="12.109375" bestFit="1" customWidth="1"/>
    <col min="5" max="5" width="18.6640625" bestFit="1" customWidth="1"/>
  </cols>
  <sheetData>
    <row r="3" spans="1:5" x14ac:dyDescent="0.3">
      <c r="A3" s="3" t="s">
        <v>33</v>
      </c>
      <c r="B3" s="1" t="s">
        <v>38</v>
      </c>
      <c r="C3" s="1" t="s">
        <v>39</v>
      </c>
      <c r="D3" s="1" t="s">
        <v>36</v>
      </c>
      <c r="E3" s="1" t="s">
        <v>37</v>
      </c>
    </row>
    <row r="4" spans="1:5" x14ac:dyDescent="0.3">
      <c r="A4" s="1" t="s">
        <v>10</v>
      </c>
      <c r="B4" s="1">
        <v>2188.46</v>
      </c>
      <c r="C4" s="1">
        <v>3013</v>
      </c>
      <c r="D4" s="1">
        <v>363.76</v>
      </c>
      <c r="E4" s="1">
        <v>16.62173400473392</v>
      </c>
    </row>
    <row r="5" spans="1:5" x14ac:dyDescent="0.3">
      <c r="A5" s="1" t="s">
        <v>28</v>
      </c>
      <c r="B5" s="1">
        <v>2188.87</v>
      </c>
      <c r="C5" s="1">
        <v>1009</v>
      </c>
      <c r="D5" s="1">
        <v>507.65</v>
      </c>
      <c r="E5" s="1">
        <v>23.192332116571563</v>
      </c>
    </row>
    <row r="6" spans="1:5" x14ac:dyDescent="0.3">
      <c r="A6" s="1" t="s">
        <v>16</v>
      </c>
      <c r="B6" s="1">
        <v>18373.13</v>
      </c>
      <c r="C6" s="1">
        <v>1003</v>
      </c>
      <c r="D6" s="1">
        <v>3460.7</v>
      </c>
      <c r="E6" s="1">
        <v>18.835658377206276</v>
      </c>
    </row>
    <row r="7" spans="1:5" x14ac:dyDescent="0.3">
      <c r="A7" s="1" t="s">
        <v>22</v>
      </c>
      <c r="B7" s="1">
        <v>361.76</v>
      </c>
      <c r="C7" s="1">
        <v>2011</v>
      </c>
      <c r="D7" s="1">
        <v>96.460000000000008</v>
      </c>
      <c r="E7" s="1">
        <v>26.664086687306504</v>
      </c>
    </row>
    <row r="8" spans="1:5" x14ac:dyDescent="0.3">
      <c r="A8" s="1" t="s">
        <v>18</v>
      </c>
      <c r="B8" s="1">
        <v>15336.36</v>
      </c>
      <c r="C8" s="1">
        <v>3019</v>
      </c>
      <c r="D8" s="1">
        <v>3172.7</v>
      </c>
      <c r="E8" s="1">
        <v>20.687438218716824</v>
      </c>
    </row>
    <row r="9" spans="1:5" x14ac:dyDescent="0.3">
      <c r="A9" s="1" t="s">
        <v>34</v>
      </c>
      <c r="B9" s="1">
        <v>38448.58</v>
      </c>
      <c r="C9" s="1">
        <v>10055</v>
      </c>
      <c r="D9" s="1">
        <v>7601.2699999999995</v>
      </c>
      <c r="E9" s="1">
        <v>19.769962895898889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4255-8DA4-4679-93B0-125D1969F884}">
  <dimension ref="A3:C8"/>
  <sheetViews>
    <sheetView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12.109375" bestFit="1" customWidth="1"/>
  </cols>
  <sheetData>
    <row r="3" spans="1:3" x14ac:dyDescent="0.3">
      <c r="A3" s="4" t="s">
        <v>33</v>
      </c>
      <c r="B3" s="5" t="s">
        <v>35</v>
      </c>
      <c r="C3" s="5" t="s">
        <v>36</v>
      </c>
    </row>
    <row r="4" spans="1:3" x14ac:dyDescent="0.3">
      <c r="A4" s="5" t="s">
        <v>14</v>
      </c>
      <c r="B4" s="5">
        <v>5677.4699999999993</v>
      </c>
      <c r="C4" s="5">
        <v>907.23</v>
      </c>
    </row>
    <row r="5" spans="1:3" x14ac:dyDescent="0.3">
      <c r="A5" s="5" t="s">
        <v>12</v>
      </c>
      <c r="B5" s="5">
        <v>24331.030000000002</v>
      </c>
      <c r="C5" s="5">
        <v>4847.42</v>
      </c>
    </row>
    <row r="6" spans="1:3" x14ac:dyDescent="0.3">
      <c r="A6" s="5" t="s">
        <v>20</v>
      </c>
      <c r="B6" s="5">
        <v>8440.08</v>
      </c>
      <c r="C6" s="5">
        <v>1803.1100000000001</v>
      </c>
    </row>
    <row r="7" spans="1:3" x14ac:dyDescent="0.3">
      <c r="A7" s="5" t="s">
        <v>40</v>
      </c>
      <c r="B7" s="5"/>
      <c r="C7" s="5">
        <v>43.51</v>
      </c>
    </row>
    <row r="8" spans="1:3" x14ac:dyDescent="0.3">
      <c r="A8" s="5" t="s">
        <v>34</v>
      </c>
      <c r="B8" s="5">
        <v>38448.58</v>
      </c>
      <c r="C8" s="5">
        <v>7601.27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6FB0-E1E0-4DC2-A787-81B97CA19C37}">
  <dimension ref="A1"/>
  <sheetViews>
    <sheetView showGridLines="0" workbookViewId="0">
      <selection sqref="A1:J1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M1" sqref="M1"/>
    </sheetView>
  </sheetViews>
  <sheetFormatPr defaultRowHeight="14.4" x14ac:dyDescent="0.3"/>
  <cols>
    <col min="1" max="1" width="10.44140625" style="1" customWidth="1"/>
    <col min="2" max="2" width="12.5546875" style="1" customWidth="1"/>
    <col min="3" max="3" width="13.77734375" style="1" customWidth="1"/>
    <col min="4" max="4" width="17" style="1" customWidth="1"/>
    <col min="5" max="5" width="18.109375" style="1" customWidth="1"/>
    <col min="6" max="6" width="15.5546875" style="1" customWidth="1"/>
    <col min="7" max="7" width="8.6640625" style="1" customWidth="1"/>
    <col min="8" max="8" width="10.21875" style="1" customWidth="1"/>
    <col min="9" max="9" width="15" style="1" customWidth="1"/>
    <col min="10" max="10" width="8" style="1" bestFit="1" customWidth="1"/>
    <col min="11" max="16384" width="8.88671875" style="1"/>
  </cols>
  <sheetData>
    <row r="1" spans="1:13" x14ac:dyDescent="0.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3" x14ac:dyDescent="0.3">
      <c r="A2" s="1">
        <v>1001</v>
      </c>
      <c r="B2" s="2">
        <v>45976</v>
      </c>
      <c r="C2" s="1">
        <v>1041</v>
      </c>
      <c r="D2" s="1" t="s">
        <v>9</v>
      </c>
      <c r="E2" s="1" t="s">
        <v>10</v>
      </c>
      <c r="F2" s="1" t="s">
        <v>11</v>
      </c>
      <c r="G2" s="1" t="s">
        <v>12</v>
      </c>
      <c r="H2" s="1">
        <v>3</v>
      </c>
      <c r="I2" s="1">
        <v>920.54</v>
      </c>
      <c r="J2" s="1">
        <v>144.62</v>
      </c>
      <c r="L2" s="1">
        <v>1003</v>
      </c>
      <c r="M2" s="1" t="str">
        <f>VLOOKUP(L2,$A$2:$J$11,4,FALSE)</f>
        <v>Rahul Reddy</v>
      </c>
    </row>
    <row r="3" spans="1:13" x14ac:dyDescent="0.3">
      <c r="A3" s="1">
        <v>1002</v>
      </c>
      <c r="B3" s="2">
        <v>45851</v>
      </c>
      <c r="C3" s="1">
        <v>1040</v>
      </c>
      <c r="D3" s="1" t="s">
        <v>13</v>
      </c>
      <c r="E3" s="1" t="s">
        <v>10</v>
      </c>
      <c r="F3" s="1" t="s">
        <v>11</v>
      </c>
      <c r="G3" s="1" t="s">
        <v>14</v>
      </c>
      <c r="H3" s="1">
        <v>2</v>
      </c>
      <c r="I3" s="1">
        <v>609.86</v>
      </c>
      <c r="J3" s="1">
        <v>85.52</v>
      </c>
      <c r="M3" s="1" t="str">
        <f>VLOOKUP(L2,$A$2:$J$11,7,FALSE)</f>
        <v>South</v>
      </c>
    </row>
    <row r="4" spans="1:13" x14ac:dyDescent="0.3">
      <c r="A4" s="1">
        <v>1003</v>
      </c>
      <c r="B4" s="2">
        <v>45921</v>
      </c>
      <c r="C4" s="1">
        <v>1060</v>
      </c>
      <c r="D4" s="1" t="s">
        <v>15</v>
      </c>
      <c r="E4" s="1" t="s">
        <v>16</v>
      </c>
      <c r="G4" s="1" t="s">
        <v>12</v>
      </c>
      <c r="H4" s="1">
        <v>4</v>
      </c>
      <c r="I4" s="1">
        <v>18373.13</v>
      </c>
      <c r="J4" s="1">
        <v>3460.7</v>
      </c>
      <c r="M4" s="1">
        <f>VLOOKUP(L2,$A$2:$J$11,9,FALSE)</f>
        <v>18373.13</v>
      </c>
    </row>
    <row r="5" spans="1:13" x14ac:dyDescent="0.3">
      <c r="A5" s="1">
        <v>1004</v>
      </c>
      <c r="B5" s="2">
        <v>45484</v>
      </c>
      <c r="C5" s="1">
        <v>1081</v>
      </c>
      <c r="D5" s="1" t="s">
        <v>17</v>
      </c>
      <c r="E5" s="1" t="s">
        <v>18</v>
      </c>
      <c r="F5" s="1" t="s">
        <v>19</v>
      </c>
      <c r="G5" s="1" t="s">
        <v>20</v>
      </c>
      <c r="H5" s="1">
        <v>4</v>
      </c>
      <c r="I5" s="1">
        <v>6251.21</v>
      </c>
      <c r="J5" s="1">
        <v>1295.46</v>
      </c>
    </row>
    <row r="6" spans="1:13" x14ac:dyDescent="0.3">
      <c r="A6" s="1">
        <v>1005</v>
      </c>
      <c r="B6" s="2">
        <v>45999</v>
      </c>
      <c r="C6" s="1">
        <v>1051</v>
      </c>
      <c r="D6" s="1" t="s">
        <v>21</v>
      </c>
      <c r="E6" s="1" t="s">
        <v>22</v>
      </c>
      <c r="F6" s="1" t="s">
        <v>23</v>
      </c>
      <c r="G6" s="1" t="s">
        <v>14</v>
      </c>
      <c r="H6" s="1">
        <v>2</v>
      </c>
      <c r="I6" s="1">
        <v>361.76</v>
      </c>
      <c r="J6" s="1">
        <v>52.95</v>
      </c>
    </row>
    <row r="7" spans="1:13" x14ac:dyDescent="0.3">
      <c r="A7" s="1">
        <v>1006</v>
      </c>
      <c r="B7" s="2">
        <v>45651</v>
      </c>
      <c r="C7" s="1">
        <v>1040</v>
      </c>
      <c r="D7" s="1" t="s">
        <v>13</v>
      </c>
      <c r="E7" s="1" t="s">
        <v>22</v>
      </c>
      <c r="F7" s="1" t="s">
        <v>23</v>
      </c>
      <c r="H7" s="1">
        <v>1</v>
      </c>
      <c r="J7" s="1">
        <v>43.51</v>
      </c>
    </row>
    <row r="8" spans="1:13" x14ac:dyDescent="0.3">
      <c r="A8" s="1">
        <v>1007</v>
      </c>
      <c r="B8" s="2">
        <v>45301</v>
      </c>
      <c r="C8" s="1">
        <v>1059</v>
      </c>
      <c r="D8" s="1" t="s">
        <v>24</v>
      </c>
      <c r="E8" s="1" t="s">
        <v>18</v>
      </c>
      <c r="F8" s="1" t="s">
        <v>25</v>
      </c>
      <c r="G8" s="1" t="s">
        <v>12</v>
      </c>
      <c r="H8" s="1">
        <v>4</v>
      </c>
      <c r="I8" s="1">
        <v>5037.3599999999997</v>
      </c>
      <c r="J8" s="1">
        <v>1242.0999999999999</v>
      </c>
    </row>
    <row r="9" spans="1:13" x14ac:dyDescent="0.3">
      <c r="A9" s="1">
        <v>1008</v>
      </c>
      <c r="B9" s="2">
        <v>46015</v>
      </c>
      <c r="C9" s="1">
        <v>1094</v>
      </c>
      <c r="D9" s="1" t="s">
        <v>26</v>
      </c>
      <c r="E9" s="1" t="s">
        <v>18</v>
      </c>
      <c r="F9" s="1" t="s">
        <v>25</v>
      </c>
      <c r="G9" s="1" t="s">
        <v>14</v>
      </c>
      <c r="H9" s="1">
        <v>3</v>
      </c>
      <c r="I9" s="1">
        <v>4047.79</v>
      </c>
      <c r="J9" s="1">
        <v>635.14</v>
      </c>
    </row>
    <row r="10" spans="1:13" x14ac:dyDescent="0.3">
      <c r="A10" s="1">
        <v>1009</v>
      </c>
      <c r="B10" s="2">
        <v>45569</v>
      </c>
      <c r="C10" s="1">
        <v>1029</v>
      </c>
      <c r="D10" s="1" t="s">
        <v>27</v>
      </c>
      <c r="E10" s="1" t="s">
        <v>28</v>
      </c>
      <c r="F10" s="1" t="s">
        <v>29</v>
      </c>
      <c r="G10" s="1" t="s">
        <v>20</v>
      </c>
      <c r="H10" s="1">
        <v>2</v>
      </c>
      <c r="I10" s="1">
        <v>2188.87</v>
      </c>
      <c r="J10" s="1">
        <v>507.65</v>
      </c>
    </row>
    <row r="11" spans="1:13" x14ac:dyDescent="0.3">
      <c r="A11" s="1">
        <v>1010</v>
      </c>
      <c r="B11" s="2">
        <v>45891</v>
      </c>
      <c r="C11" s="1">
        <v>1097</v>
      </c>
      <c r="D11" s="1" t="s">
        <v>30</v>
      </c>
      <c r="E11" s="1" t="s">
        <v>10</v>
      </c>
      <c r="F11" s="1" t="s">
        <v>31</v>
      </c>
      <c r="G11" s="1" t="s">
        <v>14</v>
      </c>
      <c r="H11" s="1">
        <v>2</v>
      </c>
      <c r="I11" s="1">
        <v>658.06</v>
      </c>
      <c r="J11" s="1">
        <v>133.62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Thanduri</dc:creator>
  <cp:lastModifiedBy>Adithya Thanduri</cp:lastModifiedBy>
  <dcterms:created xsi:type="dcterms:W3CDTF">2015-06-05T18:17:20Z</dcterms:created>
  <dcterms:modified xsi:type="dcterms:W3CDTF">2026-06-07T07:23:48Z</dcterms:modified>
</cp:coreProperties>
</file>